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poly-my.sharepoint.com/personal/dlopesdasilva_floridapoly_edu/Documents/RESEARCH/SEPS_BiobjectiveBilevel/AdditionalExperiments/Experiments/Networks/"/>
    </mc:Choice>
  </mc:AlternateContent>
  <xr:revisionPtr revIDLastSave="341" documentId="8_{806F5C4C-B73B-447F-8D0C-62494479B1DB}" xr6:coauthVersionLast="47" xr6:coauthVersionMax="47" xr10:uidLastSave="{E6505A07-4442-43BC-8303-02971D4627F0}"/>
  <bookViews>
    <workbookView xWindow="-19310" yWindow="6290" windowWidth="19420" windowHeight="11020" xr2:uid="{DC3BC77B-7382-4F53-B7D8-306972F1251D}"/>
  </bookViews>
  <sheets>
    <sheet name="Net1_10Traffickers" sheetId="1" r:id="rId1"/>
    <sheet name="Net2_10Traf" sheetId="2" r:id="rId2"/>
    <sheet name="Net3_10Traf" sheetId="3" r:id="rId3"/>
    <sheet name="Net4_10Traf" sheetId="4" r:id="rId4"/>
    <sheet name="Net5_10Traf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5" l="1"/>
  <c r="F15" i="5"/>
  <c r="E15" i="5"/>
  <c r="D15" i="5"/>
  <c r="C15" i="5"/>
  <c r="G15" i="4"/>
  <c r="F15" i="4"/>
  <c r="E15" i="4"/>
  <c r="D15" i="4"/>
  <c r="C15" i="4"/>
  <c r="G15" i="3"/>
  <c r="F15" i="3"/>
  <c r="E15" i="3"/>
  <c r="D15" i="3"/>
  <c r="C15" i="3"/>
  <c r="G14" i="2"/>
  <c r="F14" i="2"/>
  <c r="E14" i="2"/>
  <c r="D14" i="2"/>
  <c r="C14" i="2"/>
  <c r="G15" i="1"/>
  <c r="D15" i="1"/>
  <c r="E15" i="1"/>
  <c r="F15" i="1"/>
  <c r="C15" i="1"/>
</calcChain>
</file>

<file path=xl/sharedStrings.xml><?xml version="1.0" encoding="utf-8"?>
<sst xmlns="http://schemas.openxmlformats.org/spreadsheetml/2006/main" count="45" uniqueCount="13">
  <si>
    <t>Net1</t>
  </si>
  <si>
    <t>Trafficker</t>
  </si>
  <si>
    <t>Number of Victims</t>
  </si>
  <si>
    <t>Trafficker Capacity</t>
  </si>
  <si>
    <t>Bottom</t>
  </si>
  <si>
    <t>Same</t>
  </si>
  <si>
    <t>OpSame</t>
  </si>
  <si>
    <t>Diff</t>
  </si>
  <si>
    <t>Net2</t>
  </si>
  <si>
    <t>Net3</t>
  </si>
  <si>
    <t>Net4</t>
  </si>
  <si>
    <t>Net5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</si>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</sst>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71C42-FBB7-4554-9045-C359F207E4D4}">
  <dimension ref="B1:P15"/>
  <sheetViews>
    <sheetView tabSelected="1" zoomScale="90" zoomScaleNormal="90" workbookViewId="0">
      <selection activeCell="M15" sqref="M15"/>
    </sheetView>
  </sheetViews>
  <sheetFormatPr defaultRowHeight="14.4" x14ac:dyDescent="0.55000000000000004"/>
  <cols>
    <col min="2" max="2" width="10" bestFit="1" customWidth="1"/>
    <col min="3" max="3" width="18.578125" bestFit="1" customWidth="1"/>
    <col min="4" max="4" width="7.26171875" bestFit="1" customWidth="1"/>
    <col min="10" max="10" width="12.83984375" bestFit="1" customWidth="1"/>
    <col min="12" max="12" width="10.41796875" bestFit="1" customWidth="1"/>
    <col min="13" max="13" width="10.15625" bestFit="1" customWidth="1"/>
    <col min="14" max="14" width="10.41796875" bestFit="1" customWidth="1"/>
    <col min="15" max="15" width="10.15625" bestFit="1" customWidth="1"/>
  </cols>
  <sheetData>
    <row r="1" spans="2:16" x14ac:dyDescent="0.55000000000000004">
      <c r="I1" s="10"/>
      <c r="J1" s="10"/>
      <c r="K1" s="10"/>
      <c r="L1" s="10"/>
      <c r="M1" s="10"/>
      <c r="N1" s="10"/>
      <c r="O1" s="10"/>
      <c r="P1" s="10"/>
    </row>
    <row r="2" spans="2:16" ht="15.6" x14ac:dyDescent="0.6">
      <c r="I2" s="10"/>
      <c r="J2" s="10"/>
      <c r="K2" s="12"/>
      <c r="L2" s="12"/>
      <c r="M2" s="12"/>
      <c r="N2" s="12"/>
      <c r="O2" s="12"/>
      <c r="P2" s="10"/>
    </row>
    <row r="3" spans="2:16" ht="15.6" x14ac:dyDescent="0.6">
      <c r="B3" s="4" t="s">
        <v>0</v>
      </c>
      <c r="C3" s="4"/>
      <c r="D3" s="9" t="s">
        <v>3</v>
      </c>
      <c r="E3" s="9"/>
      <c r="F3" s="9"/>
      <c r="G3" s="4"/>
      <c r="I3" s="10"/>
      <c r="J3" s="10"/>
      <c r="K3" s="12"/>
      <c r="L3" s="12"/>
      <c r="M3" s="12"/>
      <c r="N3" s="12"/>
      <c r="O3" s="12"/>
      <c r="P3" s="10"/>
    </row>
    <row r="4" spans="2:16" ht="15.6" x14ac:dyDescent="0.6">
      <c r="B4" s="5" t="s">
        <v>1</v>
      </c>
      <c r="C4" s="5" t="s">
        <v>2</v>
      </c>
      <c r="D4" s="5" t="s">
        <v>5</v>
      </c>
      <c r="E4" s="5" t="s">
        <v>6</v>
      </c>
      <c r="F4" s="5" t="s">
        <v>7</v>
      </c>
      <c r="G4" s="5" t="s">
        <v>4</v>
      </c>
      <c r="I4" s="10"/>
      <c r="J4" s="12"/>
      <c r="K4" s="13"/>
      <c r="L4" s="13"/>
      <c r="M4" s="13"/>
      <c r="N4" s="13"/>
      <c r="O4" s="13"/>
      <c r="P4" s="10"/>
    </row>
    <row r="5" spans="2:16" ht="15.6" x14ac:dyDescent="0.6">
      <c r="B5" s="3">
        <v>1</v>
      </c>
      <c r="C5" s="3">
        <v>9</v>
      </c>
      <c r="D5" s="3">
        <v>90</v>
      </c>
      <c r="E5" s="3">
        <v>108</v>
      </c>
      <c r="F5" s="3">
        <v>102</v>
      </c>
      <c r="G5" s="3">
        <v>1</v>
      </c>
      <c r="H5" s="1"/>
      <c r="I5" s="10"/>
      <c r="J5" s="12"/>
      <c r="K5" s="13"/>
      <c r="L5" s="13"/>
      <c r="M5" s="13"/>
      <c r="N5" s="13"/>
      <c r="O5" s="13"/>
      <c r="P5" s="10"/>
    </row>
    <row r="6" spans="2:16" ht="15.6" x14ac:dyDescent="0.6">
      <c r="B6" s="3">
        <v>11</v>
      </c>
      <c r="C6" s="3">
        <v>8</v>
      </c>
      <c r="D6" s="3">
        <v>80</v>
      </c>
      <c r="E6" s="3">
        <v>112</v>
      </c>
      <c r="F6" s="3">
        <v>88</v>
      </c>
      <c r="G6" s="3">
        <v>1</v>
      </c>
      <c r="H6" s="1"/>
      <c r="I6" s="10"/>
      <c r="J6" s="12"/>
      <c r="K6" s="13"/>
      <c r="L6" s="13"/>
      <c r="M6" s="13"/>
      <c r="N6" s="13"/>
      <c r="O6" s="13"/>
      <c r="P6" s="10"/>
    </row>
    <row r="7" spans="2:16" x14ac:dyDescent="0.55000000000000004">
      <c r="B7" s="3">
        <v>20</v>
      </c>
      <c r="C7" s="3">
        <v>8</v>
      </c>
      <c r="D7" s="3">
        <v>80</v>
      </c>
      <c r="E7" s="3">
        <v>80</v>
      </c>
      <c r="F7" s="3">
        <v>96</v>
      </c>
      <c r="G7" s="3">
        <v>1</v>
      </c>
      <c r="H7" s="1"/>
      <c r="I7" s="10"/>
      <c r="J7" s="10"/>
      <c r="K7" s="10"/>
      <c r="L7" s="10"/>
      <c r="M7" s="10"/>
      <c r="N7" s="10"/>
      <c r="O7" s="10"/>
      <c r="P7" s="10"/>
    </row>
    <row r="8" spans="2:16" x14ac:dyDescent="0.55000000000000004">
      <c r="B8" s="3">
        <v>29</v>
      </c>
      <c r="C8" s="3">
        <v>5</v>
      </c>
      <c r="D8" s="3">
        <v>50</v>
      </c>
      <c r="E8" s="3">
        <v>45</v>
      </c>
      <c r="F8" s="3">
        <v>69</v>
      </c>
      <c r="G8" s="3">
        <v>1</v>
      </c>
      <c r="H8" s="1"/>
    </row>
    <row r="9" spans="2:16" x14ac:dyDescent="0.55000000000000004">
      <c r="B9" s="3">
        <v>35</v>
      </c>
      <c r="C9" s="3">
        <v>6</v>
      </c>
      <c r="D9" s="3">
        <v>60</v>
      </c>
      <c r="E9" s="3">
        <v>78</v>
      </c>
      <c r="F9" s="3">
        <v>83</v>
      </c>
      <c r="G9" s="3">
        <v>1</v>
      </c>
      <c r="H9" s="1"/>
      <c r="I9" s="2"/>
    </row>
    <row r="10" spans="2:16" x14ac:dyDescent="0.55000000000000004">
      <c r="B10" s="3">
        <v>42</v>
      </c>
      <c r="C10" s="3">
        <v>2</v>
      </c>
      <c r="D10" s="3">
        <v>20</v>
      </c>
      <c r="E10" s="3">
        <v>28</v>
      </c>
      <c r="F10" s="3">
        <v>20</v>
      </c>
      <c r="G10" s="3">
        <v>0</v>
      </c>
      <c r="H10" s="1"/>
    </row>
    <row r="11" spans="2:16" x14ac:dyDescent="0.55000000000000004">
      <c r="B11" s="3">
        <v>45</v>
      </c>
      <c r="C11" s="3">
        <v>4</v>
      </c>
      <c r="D11" s="3">
        <v>40</v>
      </c>
      <c r="E11" s="3">
        <v>52</v>
      </c>
      <c r="F11" s="3">
        <v>46</v>
      </c>
      <c r="G11" s="3">
        <v>1</v>
      </c>
      <c r="H11" s="1"/>
    </row>
    <row r="12" spans="2:16" x14ac:dyDescent="0.55000000000000004">
      <c r="B12" s="3">
        <v>50</v>
      </c>
      <c r="C12" s="3">
        <v>10</v>
      </c>
      <c r="D12" s="3">
        <v>100</v>
      </c>
      <c r="E12" s="3">
        <v>80</v>
      </c>
      <c r="F12" s="3">
        <v>129</v>
      </c>
      <c r="G12" s="3">
        <v>1</v>
      </c>
      <c r="H12" s="1"/>
    </row>
    <row r="13" spans="2:16" x14ac:dyDescent="0.55000000000000004">
      <c r="B13" s="3">
        <v>61</v>
      </c>
      <c r="C13" s="3">
        <v>3</v>
      </c>
      <c r="D13" s="3">
        <v>30</v>
      </c>
      <c r="E13" s="3">
        <v>36</v>
      </c>
      <c r="F13" s="3">
        <v>35</v>
      </c>
      <c r="G13" s="3">
        <v>1</v>
      </c>
      <c r="H13" s="1"/>
    </row>
    <row r="14" spans="2:16" x14ac:dyDescent="0.55000000000000004">
      <c r="B14" s="3">
        <v>65</v>
      </c>
      <c r="C14" s="3">
        <v>8</v>
      </c>
      <c r="D14" s="3">
        <v>80</v>
      </c>
      <c r="E14" s="3">
        <v>64</v>
      </c>
      <c r="F14" s="3">
        <v>96</v>
      </c>
      <c r="G14" s="3">
        <v>1</v>
      </c>
      <c r="H14" s="1"/>
    </row>
    <row r="15" spans="2:16" ht="15.6" x14ac:dyDescent="0.6">
      <c r="B15" s="5" t="s">
        <v>12</v>
      </c>
      <c r="C15" s="8">
        <f>SUM(C5:C14)</f>
        <v>63</v>
      </c>
      <c r="D15" s="8">
        <f t="shared" ref="D15:G15" si="0">SUM(D5:D14)</f>
        <v>630</v>
      </c>
      <c r="E15" s="8">
        <f t="shared" si="0"/>
        <v>683</v>
      </c>
      <c r="F15" s="8">
        <f t="shared" si="0"/>
        <v>764</v>
      </c>
      <c r="G15" s="8">
        <f t="shared" si="0"/>
        <v>9</v>
      </c>
    </row>
  </sheetData>
  <mergeCells count="1">
    <mergeCell ref="D3:F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D47A5-D8D8-4D98-A0BA-0DC7705D8FB2}">
  <dimension ref="B1:P14"/>
  <sheetViews>
    <sheetView zoomScaleNormal="100" workbookViewId="0">
      <selection activeCell="J1" sqref="J1:P8"/>
    </sheetView>
  </sheetViews>
  <sheetFormatPr defaultRowHeight="14.4" x14ac:dyDescent="0.55000000000000004"/>
  <cols>
    <col min="2" max="2" width="10" bestFit="1" customWidth="1"/>
    <col min="3" max="3" width="18.578125" bestFit="1" customWidth="1"/>
    <col min="11" max="11" width="12.83984375" bestFit="1" customWidth="1"/>
    <col min="12" max="12" width="8" bestFit="1" customWidth="1"/>
    <col min="13" max="13" width="10.26171875" bestFit="1" customWidth="1"/>
    <col min="14" max="14" width="10" bestFit="1" customWidth="1"/>
    <col min="15" max="15" width="10.26171875" bestFit="1" customWidth="1"/>
    <col min="16" max="16" width="10" bestFit="1" customWidth="1"/>
  </cols>
  <sheetData>
    <row r="1" spans="2:16" x14ac:dyDescent="0.55000000000000004">
      <c r="J1" s="10"/>
      <c r="K1" s="10"/>
      <c r="L1" s="10"/>
      <c r="M1" s="10"/>
      <c r="N1" s="10"/>
      <c r="O1" s="10"/>
      <c r="P1" s="10"/>
    </row>
    <row r="2" spans="2:16" ht="15.6" x14ac:dyDescent="0.6">
      <c r="B2" s="4" t="s">
        <v>8</v>
      </c>
      <c r="C2" s="4"/>
      <c r="D2" s="9" t="s">
        <v>3</v>
      </c>
      <c r="E2" s="9"/>
      <c r="F2" s="9"/>
      <c r="G2" s="4"/>
      <c r="J2" s="10"/>
      <c r="K2" s="10"/>
      <c r="L2" s="11"/>
      <c r="M2" s="11"/>
      <c r="N2" s="11"/>
      <c r="O2" s="11"/>
      <c r="P2" s="11"/>
    </row>
    <row r="3" spans="2:16" ht="15.6" x14ac:dyDescent="0.6">
      <c r="B3" s="6" t="s">
        <v>1</v>
      </c>
      <c r="C3" s="6" t="s">
        <v>2</v>
      </c>
      <c r="D3" s="6" t="s">
        <v>5</v>
      </c>
      <c r="E3" s="6" t="s">
        <v>6</v>
      </c>
      <c r="F3" s="6" t="s">
        <v>7</v>
      </c>
      <c r="G3" s="6" t="s">
        <v>4</v>
      </c>
      <c r="J3" s="10"/>
      <c r="K3" s="10"/>
      <c r="L3" s="12"/>
      <c r="M3" s="12"/>
      <c r="N3" s="12"/>
      <c r="O3" s="12"/>
      <c r="P3" s="12"/>
    </row>
    <row r="4" spans="2:16" ht="15.6" x14ac:dyDescent="0.6">
      <c r="B4" s="3">
        <v>1</v>
      </c>
      <c r="C4" s="3">
        <v>7</v>
      </c>
      <c r="D4" s="3">
        <v>70</v>
      </c>
      <c r="E4" s="3">
        <v>77</v>
      </c>
      <c r="F4" s="3">
        <v>92</v>
      </c>
      <c r="G4" s="3">
        <v>1</v>
      </c>
      <c r="J4" s="10"/>
      <c r="K4" s="12"/>
      <c r="L4" s="13"/>
      <c r="M4" s="13"/>
      <c r="N4" s="13"/>
      <c r="O4" s="13"/>
      <c r="P4" s="13"/>
    </row>
    <row r="5" spans="2:16" ht="15.6" x14ac:dyDescent="0.6">
      <c r="B5" s="3">
        <v>9</v>
      </c>
      <c r="C5" s="3">
        <v>6</v>
      </c>
      <c r="D5" s="3">
        <v>60</v>
      </c>
      <c r="E5" s="3">
        <v>96</v>
      </c>
      <c r="F5" s="3">
        <v>61</v>
      </c>
      <c r="G5" s="3">
        <v>1</v>
      </c>
      <c r="J5" s="10"/>
      <c r="K5" s="12"/>
      <c r="L5" s="13"/>
      <c r="M5" s="13"/>
      <c r="N5" s="13"/>
      <c r="O5" s="13"/>
      <c r="P5" s="13"/>
    </row>
    <row r="6" spans="2:16" ht="15.6" x14ac:dyDescent="0.6">
      <c r="B6" s="3">
        <v>16</v>
      </c>
      <c r="C6" s="3">
        <v>3</v>
      </c>
      <c r="D6" s="3">
        <v>30</v>
      </c>
      <c r="E6" s="3">
        <v>30</v>
      </c>
      <c r="F6" s="3">
        <v>38</v>
      </c>
      <c r="G6" s="3">
        <v>0</v>
      </c>
      <c r="J6" s="10"/>
      <c r="K6" s="12"/>
      <c r="L6" s="13"/>
      <c r="M6" s="13"/>
      <c r="N6" s="13"/>
      <c r="O6" s="13"/>
      <c r="P6" s="13"/>
    </row>
    <row r="7" spans="2:16" x14ac:dyDescent="0.55000000000000004">
      <c r="B7" s="3">
        <v>20</v>
      </c>
      <c r="C7" s="3">
        <v>3</v>
      </c>
      <c r="D7" s="3">
        <v>30</v>
      </c>
      <c r="E7" s="3">
        <v>27</v>
      </c>
      <c r="F7" s="3">
        <v>38</v>
      </c>
      <c r="G7" s="3">
        <v>0</v>
      </c>
      <c r="J7" s="10"/>
      <c r="K7" s="10"/>
      <c r="L7" s="10"/>
      <c r="M7" s="10"/>
      <c r="N7" s="10"/>
      <c r="O7" s="10"/>
      <c r="P7" s="10"/>
    </row>
    <row r="8" spans="2:16" x14ac:dyDescent="0.55000000000000004">
      <c r="B8" s="3">
        <v>24</v>
      </c>
      <c r="C8" s="3">
        <v>6</v>
      </c>
      <c r="D8" s="3">
        <v>60</v>
      </c>
      <c r="E8" s="3">
        <v>72</v>
      </c>
      <c r="F8" s="3">
        <v>82</v>
      </c>
      <c r="G8" s="3">
        <v>1</v>
      </c>
      <c r="J8" s="10"/>
      <c r="K8" s="10"/>
      <c r="L8" s="10"/>
      <c r="M8" s="10"/>
      <c r="N8" s="10"/>
      <c r="O8" s="10"/>
      <c r="P8" s="10"/>
    </row>
    <row r="9" spans="2:16" x14ac:dyDescent="0.55000000000000004">
      <c r="B9" s="3">
        <v>31</v>
      </c>
      <c r="C9" s="3">
        <v>7</v>
      </c>
      <c r="D9" s="3">
        <v>70</v>
      </c>
      <c r="E9" s="3">
        <v>112</v>
      </c>
      <c r="F9" s="3">
        <v>79</v>
      </c>
      <c r="G9" s="3">
        <v>1</v>
      </c>
    </row>
    <row r="10" spans="2:16" x14ac:dyDescent="0.55000000000000004">
      <c r="B10" s="3">
        <v>39</v>
      </c>
      <c r="C10" s="3">
        <v>6</v>
      </c>
      <c r="D10" s="3">
        <v>60</v>
      </c>
      <c r="E10" s="3">
        <v>60</v>
      </c>
      <c r="F10" s="3">
        <v>66</v>
      </c>
      <c r="G10" s="3">
        <v>1</v>
      </c>
    </row>
    <row r="11" spans="2:16" x14ac:dyDescent="0.55000000000000004">
      <c r="B11" s="3">
        <v>46</v>
      </c>
      <c r="C11" s="3">
        <v>5</v>
      </c>
      <c r="D11" s="3">
        <v>50</v>
      </c>
      <c r="E11" s="3">
        <v>45</v>
      </c>
      <c r="F11" s="3">
        <v>59</v>
      </c>
      <c r="G11" s="3">
        <v>1</v>
      </c>
    </row>
    <row r="12" spans="2:16" x14ac:dyDescent="0.55000000000000004">
      <c r="B12" s="3">
        <v>52</v>
      </c>
      <c r="C12" s="3">
        <v>10</v>
      </c>
      <c r="D12" s="3">
        <v>100</v>
      </c>
      <c r="E12" s="3">
        <v>120</v>
      </c>
      <c r="F12" s="3">
        <v>108</v>
      </c>
      <c r="G12" s="3">
        <v>1</v>
      </c>
    </row>
    <row r="13" spans="2:16" x14ac:dyDescent="0.55000000000000004">
      <c r="B13" s="3">
        <v>63</v>
      </c>
      <c r="C13" s="3">
        <v>4</v>
      </c>
      <c r="D13" s="3">
        <v>40</v>
      </c>
      <c r="E13" s="3">
        <v>60</v>
      </c>
      <c r="F13" s="3">
        <v>51</v>
      </c>
      <c r="G13" s="3">
        <v>1</v>
      </c>
    </row>
    <row r="14" spans="2:16" ht="15.6" x14ac:dyDescent="0.6">
      <c r="B14" s="5" t="s">
        <v>12</v>
      </c>
      <c r="C14" s="8">
        <f>SUM(C4:C13)</f>
        <v>57</v>
      </c>
      <c r="D14" s="8">
        <f t="shared" ref="D14:G14" si="0">SUM(D4:D13)</f>
        <v>570</v>
      </c>
      <c r="E14" s="8">
        <f t="shared" si="0"/>
        <v>699</v>
      </c>
      <c r="F14" s="8">
        <f t="shared" si="0"/>
        <v>674</v>
      </c>
      <c r="G14" s="8">
        <f t="shared" si="0"/>
        <v>8</v>
      </c>
    </row>
  </sheetData>
  <mergeCells count="2">
    <mergeCell ref="D2:F2"/>
    <mergeCell ref="L2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0A5B2-EE56-47A5-8F73-9156098A2A0C}">
  <dimension ref="B1:O15"/>
  <sheetViews>
    <sheetView topLeftCell="C1" zoomScale="120" zoomScaleNormal="120" workbookViewId="0">
      <selection activeCell="I1" sqref="I1:O9"/>
    </sheetView>
  </sheetViews>
  <sheetFormatPr defaultRowHeight="14.4" x14ac:dyDescent="0.55000000000000004"/>
  <cols>
    <col min="2" max="2" width="10" bestFit="1" customWidth="1"/>
    <col min="3" max="3" width="18.578125" bestFit="1" customWidth="1"/>
    <col min="10" max="10" width="12.83984375" bestFit="1" customWidth="1"/>
    <col min="12" max="12" width="10.41796875" bestFit="1" customWidth="1"/>
    <col min="13" max="13" width="10" bestFit="1" customWidth="1"/>
    <col min="14" max="14" width="10.41796875" bestFit="1" customWidth="1"/>
    <col min="15" max="15" width="10" bestFit="1" customWidth="1"/>
  </cols>
  <sheetData>
    <row r="1" spans="2:15" x14ac:dyDescent="0.55000000000000004">
      <c r="I1" s="10"/>
      <c r="J1" s="10"/>
      <c r="K1" s="10"/>
      <c r="L1" s="10"/>
      <c r="M1" s="10"/>
      <c r="N1" s="10"/>
      <c r="O1" s="10"/>
    </row>
    <row r="2" spans="2:15" x14ac:dyDescent="0.55000000000000004">
      <c r="I2" s="10"/>
      <c r="J2" s="10"/>
      <c r="K2" s="10"/>
      <c r="L2" s="10"/>
      <c r="M2" s="10"/>
      <c r="N2" s="10"/>
      <c r="O2" s="10"/>
    </row>
    <row r="3" spans="2:15" ht="15.6" x14ac:dyDescent="0.6">
      <c r="B3" s="4" t="s">
        <v>9</v>
      </c>
      <c r="C3" s="4"/>
      <c r="D3" s="9" t="s">
        <v>3</v>
      </c>
      <c r="E3" s="9"/>
      <c r="F3" s="9"/>
      <c r="G3" s="4"/>
      <c r="I3" s="10"/>
      <c r="J3" s="10"/>
      <c r="K3" s="11"/>
      <c r="L3" s="11"/>
      <c r="M3" s="11"/>
      <c r="N3" s="11"/>
      <c r="O3" s="11"/>
    </row>
    <row r="4" spans="2:15" ht="15.6" x14ac:dyDescent="0.6">
      <c r="B4" s="6" t="s">
        <v>1</v>
      </c>
      <c r="C4" s="6" t="s">
        <v>2</v>
      </c>
      <c r="D4" s="6" t="s">
        <v>5</v>
      </c>
      <c r="E4" s="6" t="s">
        <v>6</v>
      </c>
      <c r="F4" s="6" t="s">
        <v>7</v>
      </c>
      <c r="G4" s="6" t="s">
        <v>4</v>
      </c>
      <c r="I4" s="10"/>
      <c r="J4" s="10"/>
      <c r="K4" s="12"/>
      <c r="L4" s="12"/>
      <c r="M4" s="12"/>
      <c r="N4" s="12"/>
      <c r="O4" s="12"/>
    </row>
    <row r="5" spans="2:15" ht="15.6" x14ac:dyDescent="0.6">
      <c r="B5" s="7">
        <v>1</v>
      </c>
      <c r="C5" s="7">
        <v>6</v>
      </c>
      <c r="D5" s="7">
        <v>60</v>
      </c>
      <c r="E5" s="7">
        <v>78</v>
      </c>
      <c r="F5" s="7">
        <v>72</v>
      </c>
      <c r="G5" s="7">
        <v>1</v>
      </c>
      <c r="I5" s="10"/>
      <c r="J5" s="12"/>
      <c r="K5" s="13"/>
      <c r="L5" s="13"/>
      <c r="M5" s="13"/>
      <c r="N5" s="13"/>
      <c r="O5" s="13"/>
    </row>
    <row r="6" spans="2:15" ht="15.6" x14ac:dyDescent="0.6">
      <c r="B6" s="7">
        <v>8</v>
      </c>
      <c r="C6" s="7">
        <v>6</v>
      </c>
      <c r="D6" s="7">
        <v>60</v>
      </c>
      <c r="E6" s="7">
        <v>78</v>
      </c>
      <c r="F6" s="7">
        <v>65</v>
      </c>
      <c r="G6" s="7">
        <v>1</v>
      </c>
      <c r="I6" s="10"/>
      <c r="J6" s="12"/>
      <c r="K6" s="13"/>
      <c r="L6" s="13"/>
      <c r="M6" s="13"/>
      <c r="N6" s="13"/>
      <c r="O6" s="13"/>
    </row>
    <row r="7" spans="2:15" ht="15.6" x14ac:dyDescent="0.6">
      <c r="B7" s="7">
        <v>15</v>
      </c>
      <c r="C7" s="7">
        <v>3</v>
      </c>
      <c r="D7" s="7">
        <v>30</v>
      </c>
      <c r="E7" s="7">
        <v>24</v>
      </c>
      <c r="F7" s="7">
        <v>35</v>
      </c>
      <c r="G7" s="7">
        <v>1</v>
      </c>
      <c r="I7" s="10"/>
      <c r="J7" s="12"/>
      <c r="K7" s="13"/>
      <c r="L7" s="13"/>
      <c r="M7" s="13"/>
      <c r="N7" s="13"/>
      <c r="O7" s="13"/>
    </row>
    <row r="8" spans="2:15" x14ac:dyDescent="0.55000000000000004">
      <c r="B8" s="7">
        <v>19</v>
      </c>
      <c r="C8" s="7">
        <v>6</v>
      </c>
      <c r="D8" s="7">
        <v>60</v>
      </c>
      <c r="E8" s="7">
        <v>78</v>
      </c>
      <c r="F8" s="7">
        <v>70</v>
      </c>
      <c r="G8" s="7">
        <v>1</v>
      </c>
      <c r="I8" s="10"/>
      <c r="J8" s="10"/>
      <c r="K8" s="10"/>
      <c r="L8" s="10"/>
      <c r="M8" s="10"/>
      <c r="N8" s="10"/>
      <c r="O8" s="10"/>
    </row>
    <row r="9" spans="2:15" x14ac:dyDescent="0.55000000000000004">
      <c r="B9" s="7">
        <v>26</v>
      </c>
      <c r="C9" s="7">
        <v>7</v>
      </c>
      <c r="D9" s="7">
        <v>70</v>
      </c>
      <c r="E9" s="7">
        <v>84</v>
      </c>
      <c r="F9" s="7">
        <v>85</v>
      </c>
      <c r="G9" s="7">
        <v>1</v>
      </c>
      <c r="I9" s="10"/>
      <c r="J9" s="10"/>
      <c r="K9" s="10"/>
      <c r="L9" s="10"/>
      <c r="M9" s="10"/>
      <c r="N9" s="10"/>
      <c r="O9" s="10"/>
    </row>
    <row r="10" spans="2:15" x14ac:dyDescent="0.55000000000000004">
      <c r="B10" s="7">
        <v>34</v>
      </c>
      <c r="C10" s="7">
        <v>4</v>
      </c>
      <c r="D10" s="7">
        <v>40</v>
      </c>
      <c r="E10" s="7">
        <v>40</v>
      </c>
      <c r="F10" s="7">
        <v>48</v>
      </c>
      <c r="G10" s="7">
        <v>1</v>
      </c>
    </row>
    <row r="11" spans="2:15" x14ac:dyDescent="0.55000000000000004">
      <c r="B11" s="7">
        <v>39</v>
      </c>
      <c r="C11" s="7">
        <v>7</v>
      </c>
      <c r="D11" s="7">
        <v>70</v>
      </c>
      <c r="E11" s="7">
        <v>91</v>
      </c>
      <c r="F11" s="7">
        <v>84</v>
      </c>
      <c r="G11" s="7">
        <v>1</v>
      </c>
    </row>
    <row r="12" spans="2:15" x14ac:dyDescent="0.55000000000000004">
      <c r="B12" s="7">
        <v>47</v>
      </c>
      <c r="C12" s="7">
        <v>5</v>
      </c>
      <c r="D12" s="7">
        <v>50</v>
      </c>
      <c r="E12" s="7">
        <v>50</v>
      </c>
      <c r="F12" s="7">
        <v>66</v>
      </c>
      <c r="G12" s="7">
        <v>1</v>
      </c>
    </row>
    <row r="13" spans="2:15" x14ac:dyDescent="0.55000000000000004">
      <c r="B13" s="7">
        <v>53</v>
      </c>
      <c r="C13" s="7">
        <v>8</v>
      </c>
      <c r="D13" s="7">
        <v>80</v>
      </c>
      <c r="E13" s="7">
        <v>72</v>
      </c>
      <c r="F13" s="7">
        <v>86</v>
      </c>
      <c r="G13" s="7">
        <v>1</v>
      </c>
    </row>
    <row r="14" spans="2:15" x14ac:dyDescent="0.55000000000000004">
      <c r="B14" s="7">
        <v>62</v>
      </c>
      <c r="C14" s="7">
        <v>8</v>
      </c>
      <c r="D14" s="7">
        <v>80</v>
      </c>
      <c r="E14" s="7">
        <v>120</v>
      </c>
      <c r="F14" s="7">
        <v>97</v>
      </c>
      <c r="G14" s="7">
        <v>1</v>
      </c>
    </row>
    <row r="15" spans="2:15" ht="15.6" x14ac:dyDescent="0.6">
      <c r="B15" s="5" t="s">
        <v>12</v>
      </c>
      <c r="C15" s="8">
        <f>SUM(C5:C14)</f>
        <v>60</v>
      </c>
      <c r="D15" s="8">
        <f t="shared" ref="D15:G15" si="0">SUM(D5:D14)</f>
        <v>600</v>
      </c>
      <c r="E15" s="8">
        <f t="shared" si="0"/>
        <v>715</v>
      </c>
      <c r="F15" s="8">
        <f t="shared" si="0"/>
        <v>708</v>
      </c>
      <c r="G15" s="8">
        <f t="shared" si="0"/>
        <v>10</v>
      </c>
    </row>
  </sheetData>
  <mergeCells count="2">
    <mergeCell ref="D3:F3"/>
    <mergeCell ref="K3:O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3B90E-9EF2-4142-A2A8-D05C962BE795}">
  <dimension ref="B2:N15"/>
  <sheetViews>
    <sheetView zoomScaleNormal="100" workbookViewId="0">
      <selection activeCell="I8" sqref="I2:N8"/>
    </sheetView>
  </sheetViews>
  <sheetFormatPr defaultRowHeight="14.4" x14ac:dyDescent="0.55000000000000004"/>
  <cols>
    <col min="2" max="2" width="10" bestFit="1" customWidth="1"/>
    <col min="3" max="3" width="18.578125" bestFit="1" customWidth="1"/>
    <col min="9" max="9" width="12.83984375" bestFit="1" customWidth="1"/>
    <col min="10" max="10" width="8.26171875" bestFit="1" customWidth="1"/>
    <col min="11" max="11" width="10.41796875" bestFit="1" customWidth="1"/>
    <col min="12" max="12" width="10.15625" bestFit="1" customWidth="1"/>
    <col min="13" max="13" width="10.41796875" bestFit="1" customWidth="1"/>
    <col min="14" max="14" width="10.15625" bestFit="1" customWidth="1"/>
  </cols>
  <sheetData>
    <row r="2" spans="2:14" x14ac:dyDescent="0.55000000000000004">
      <c r="I2" s="10"/>
      <c r="J2" s="10"/>
      <c r="K2" s="10"/>
      <c r="L2" s="10"/>
      <c r="M2" s="10"/>
      <c r="N2" s="10"/>
    </row>
    <row r="3" spans="2:14" ht="15.6" x14ac:dyDescent="0.6">
      <c r="B3" s="4" t="s">
        <v>10</v>
      </c>
      <c r="C3" s="4"/>
      <c r="D3" s="9" t="s">
        <v>3</v>
      </c>
      <c r="E3" s="9"/>
      <c r="F3" s="9"/>
      <c r="G3" s="4"/>
      <c r="I3" s="10"/>
      <c r="J3" s="11"/>
      <c r="K3" s="11"/>
      <c r="L3" s="11"/>
      <c r="M3" s="11"/>
      <c r="N3" s="11"/>
    </row>
    <row r="4" spans="2:14" ht="15.6" x14ac:dyDescent="0.6">
      <c r="B4" s="6" t="s">
        <v>1</v>
      </c>
      <c r="C4" s="6" t="s">
        <v>2</v>
      </c>
      <c r="D4" s="6" t="s">
        <v>5</v>
      </c>
      <c r="E4" s="6" t="s">
        <v>6</v>
      </c>
      <c r="F4" s="6" t="s">
        <v>7</v>
      </c>
      <c r="G4" s="6" t="s">
        <v>4</v>
      </c>
      <c r="I4" s="10"/>
      <c r="J4" s="12"/>
      <c r="K4" s="12"/>
      <c r="L4" s="12"/>
      <c r="M4" s="12"/>
      <c r="N4" s="12"/>
    </row>
    <row r="5" spans="2:14" ht="15.6" x14ac:dyDescent="0.6">
      <c r="B5" s="7">
        <v>1</v>
      </c>
      <c r="C5" s="7">
        <v>5</v>
      </c>
      <c r="D5" s="7">
        <v>50</v>
      </c>
      <c r="E5" s="7">
        <v>45</v>
      </c>
      <c r="F5" s="7">
        <v>60</v>
      </c>
      <c r="G5" s="7">
        <v>1</v>
      </c>
      <c r="I5" s="12"/>
      <c r="J5" s="13"/>
      <c r="K5" s="13"/>
      <c r="L5" s="13"/>
      <c r="M5" s="13"/>
      <c r="N5" s="13"/>
    </row>
    <row r="6" spans="2:14" ht="15.6" x14ac:dyDescent="0.6">
      <c r="B6" s="7">
        <v>7</v>
      </c>
      <c r="C6" s="7">
        <v>2</v>
      </c>
      <c r="D6" s="7">
        <v>20</v>
      </c>
      <c r="E6" s="7">
        <v>30</v>
      </c>
      <c r="F6" s="7">
        <v>26</v>
      </c>
      <c r="G6" s="7">
        <v>0</v>
      </c>
      <c r="I6" s="12"/>
      <c r="J6" s="13"/>
      <c r="K6" s="13"/>
      <c r="L6" s="13"/>
      <c r="M6" s="13"/>
      <c r="N6" s="13"/>
    </row>
    <row r="7" spans="2:14" ht="15.6" x14ac:dyDescent="0.6">
      <c r="B7" s="7">
        <v>10</v>
      </c>
      <c r="C7" s="7">
        <v>6</v>
      </c>
      <c r="D7" s="7">
        <v>60</v>
      </c>
      <c r="E7" s="7">
        <v>96</v>
      </c>
      <c r="F7" s="7">
        <v>66</v>
      </c>
      <c r="G7" s="7">
        <v>1</v>
      </c>
      <c r="I7" s="12"/>
      <c r="J7" s="13"/>
      <c r="K7" s="13"/>
      <c r="L7" s="13"/>
      <c r="M7" s="13"/>
      <c r="N7" s="13"/>
    </row>
    <row r="8" spans="2:14" x14ac:dyDescent="0.55000000000000004">
      <c r="B8" s="7">
        <v>17</v>
      </c>
      <c r="C8" s="7">
        <v>8</v>
      </c>
      <c r="D8" s="7">
        <v>80</v>
      </c>
      <c r="E8" s="7">
        <v>64</v>
      </c>
      <c r="F8" s="7">
        <v>97</v>
      </c>
      <c r="G8" s="7">
        <v>1</v>
      </c>
      <c r="I8" s="10"/>
      <c r="J8" s="10"/>
      <c r="K8" s="10"/>
      <c r="L8" s="10"/>
      <c r="M8" s="10"/>
      <c r="N8" s="10"/>
    </row>
    <row r="9" spans="2:14" x14ac:dyDescent="0.55000000000000004">
      <c r="B9" s="7">
        <v>26</v>
      </c>
      <c r="C9" s="7">
        <v>7</v>
      </c>
      <c r="D9" s="7">
        <v>70</v>
      </c>
      <c r="E9" s="7">
        <v>56</v>
      </c>
      <c r="F9" s="7">
        <v>77</v>
      </c>
      <c r="G9" s="7">
        <v>0</v>
      </c>
    </row>
    <row r="10" spans="2:14" x14ac:dyDescent="0.55000000000000004">
      <c r="B10" s="7">
        <v>34</v>
      </c>
      <c r="C10" s="7">
        <v>3</v>
      </c>
      <c r="D10" s="7">
        <v>30</v>
      </c>
      <c r="E10" s="7">
        <v>27</v>
      </c>
      <c r="F10" s="7">
        <v>28</v>
      </c>
      <c r="G10" s="7">
        <v>0</v>
      </c>
    </row>
    <row r="11" spans="2:14" x14ac:dyDescent="0.55000000000000004">
      <c r="B11" s="7">
        <v>38</v>
      </c>
      <c r="C11" s="7">
        <v>2</v>
      </c>
      <c r="D11" s="7">
        <v>20</v>
      </c>
      <c r="E11" s="7">
        <v>18</v>
      </c>
      <c r="F11" s="7">
        <v>24</v>
      </c>
      <c r="G11" s="7">
        <v>1</v>
      </c>
    </row>
    <row r="12" spans="2:14" x14ac:dyDescent="0.55000000000000004">
      <c r="B12" s="7">
        <v>41</v>
      </c>
      <c r="C12" s="7">
        <v>8</v>
      </c>
      <c r="D12" s="7">
        <v>80</v>
      </c>
      <c r="E12" s="7">
        <v>80</v>
      </c>
      <c r="F12" s="7">
        <v>94</v>
      </c>
      <c r="G12" s="7">
        <v>1</v>
      </c>
    </row>
    <row r="13" spans="2:14" x14ac:dyDescent="0.55000000000000004">
      <c r="B13" s="7">
        <v>50</v>
      </c>
      <c r="C13" s="7">
        <v>5</v>
      </c>
      <c r="D13" s="7">
        <v>50</v>
      </c>
      <c r="E13" s="7">
        <v>40</v>
      </c>
      <c r="F13" s="7">
        <v>60</v>
      </c>
      <c r="G13" s="7">
        <v>1</v>
      </c>
    </row>
    <row r="14" spans="2:14" x14ac:dyDescent="0.55000000000000004">
      <c r="B14" s="7">
        <v>56</v>
      </c>
      <c r="C14" s="7">
        <v>7</v>
      </c>
      <c r="D14" s="7">
        <v>70</v>
      </c>
      <c r="E14" s="7">
        <v>98</v>
      </c>
      <c r="F14" s="7">
        <v>93</v>
      </c>
      <c r="G14" s="7">
        <v>1</v>
      </c>
    </row>
    <row r="15" spans="2:14" ht="15.6" x14ac:dyDescent="0.6">
      <c r="B15" s="5" t="s">
        <v>12</v>
      </c>
      <c r="C15" s="8">
        <f>SUM(C5:C14)</f>
        <v>53</v>
      </c>
      <c r="D15" s="8">
        <f t="shared" ref="D15:G15" si="0">SUM(D5:D14)</f>
        <v>530</v>
      </c>
      <c r="E15" s="8">
        <f t="shared" si="0"/>
        <v>554</v>
      </c>
      <c r="F15" s="8">
        <f t="shared" si="0"/>
        <v>625</v>
      </c>
      <c r="G15" s="8">
        <f t="shared" si="0"/>
        <v>7</v>
      </c>
    </row>
  </sheetData>
  <mergeCells count="2">
    <mergeCell ref="D3:F3"/>
    <mergeCell ref="J3:N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BB2DF-5F2D-41D3-95FE-540DAC5D47DE}">
  <dimension ref="B2:O15"/>
  <sheetViews>
    <sheetView zoomScale="90" zoomScaleNormal="90" workbookViewId="0">
      <selection activeCell="K15" sqref="K15"/>
    </sheetView>
  </sheetViews>
  <sheetFormatPr defaultRowHeight="14.4" x14ac:dyDescent="0.55000000000000004"/>
  <cols>
    <col min="2" max="2" width="10" bestFit="1" customWidth="1"/>
    <col min="3" max="3" width="18.578125" bestFit="1" customWidth="1"/>
    <col min="10" max="10" width="12.83984375" bestFit="1" customWidth="1"/>
    <col min="11" max="11" width="8.15625" bestFit="1" customWidth="1"/>
    <col min="12" max="12" width="10.41796875" bestFit="1" customWidth="1"/>
    <col min="13" max="13" width="10" bestFit="1" customWidth="1"/>
    <col min="14" max="14" width="10.41796875" bestFit="1" customWidth="1"/>
    <col min="15" max="15" width="10" bestFit="1" customWidth="1"/>
  </cols>
  <sheetData>
    <row r="2" spans="2:15" x14ac:dyDescent="0.55000000000000004">
      <c r="I2" s="10"/>
      <c r="J2" s="10"/>
      <c r="K2" s="10"/>
      <c r="L2" s="10"/>
      <c r="M2" s="10"/>
      <c r="N2" s="10"/>
      <c r="O2" s="10"/>
    </row>
    <row r="3" spans="2:15" ht="15.6" x14ac:dyDescent="0.6">
      <c r="B3" s="4" t="s">
        <v>11</v>
      </c>
      <c r="C3" s="4"/>
      <c r="D3" s="9" t="s">
        <v>3</v>
      </c>
      <c r="E3" s="9"/>
      <c r="F3" s="9"/>
      <c r="G3" s="4"/>
      <c r="I3" s="10"/>
      <c r="J3" s="10"/>
      <c r="K3" s="11"/>
      <c r="L3" s="11"/>
      <c r="M3" s="11"/>
      <c r="N3" s="11"/>
      <c r="O3" s="11"/>
    </row>
    <row r="4" spans="2:15" ht="15.6" x14ac:dyDescent="0.6">
      <c r="B4" s="6" t="s">
        <v>1</v>
      </c>
      <c r="C4" s="6" t="s">
        <v>2</v>
      </c>
      <c r="D4" s="6" t="s">
        <v>5</v>
      </c>
      <c r="E4" s="6" t="s">
        <v>6</v>
      </c>
      <c r="F4" s="6" t="s">
        <v>7</v>
      </c>
      <c r="G4" s="6" t="s">
        <v>4</v>
      </c>
      <c r="I4" s="10"/>
      <c r="J4" s="10"/>
      <c r="K4" s="12"/>
      <c r="L4" s="12"/>
      <c r="M4" s="12"/>
      <c r="N4" s="12"/>
      <c r="O4" s="12"/>
    </row>
    <row r="5" spans="2:15" ht="15.6" x14ac:dyDescent="0.6">
      <c r="B5" s="7">
        <v>1</v>
      </c>
      <c r="C5" s="7">
        <v>4</v>
      </c>
      <c r="D5" s="7">
        <v>40</v>
      </c>
      <c r="E5" s="7">
        <v>44</v>
      </c>
      <c r="F5" s="7">
        <v>39</v>
      </c>
      <c r="G5" s="7">
        <v>0</v>
      </c>
      <c r="I5" s="10"/>
      <c r="J5" s="12"/>
      <c r="K5" s="13"/>
      <c r="L5" s="13"/>
      <c r="M5" s="13"/>
      <c r="N5" s="13"/>
      <c r="O5" s="13"/>
    </row>
    <row r="6" spans="2:15" ht="15.6" x14ac:dyDescent="0.6">
      <c r="B6" s="7">
        <v>6</v>
      </c>
      <c r="C6" s="7">
        <v>4</v>
      </c>
      <c r="D6" s="7">
        <v>40</v>
      </c>
      <c r="E6" s="7">
        <v>52</v>
      </c>
      <c r="F6" s="7">
        <v>42</v>
      </c>
      <c r="G6" s="7">
        <v>1</v>
      </c>
      <c r="I6" s="10"/>
      <c r="J6" s="12"/>
      <c r="K6" s="13"/>
      <c r="L6" s="13"/>
      <c r="M6" s="13"/>
      <c r="N6" s="13"/>
      <c r="O6" s="13"/>
    </row>
    <row r="7" spans="2:15" ht="15.6" x14ac:dyDescent="0.6">
      <c r="B7" s="7">
        <v>11</v>
      </c>
      <c r="C7" s="7">
        <v>6</v>
      </c>
      <c r="D7" s="7">
        <v>60</v>
      </c>
      <c r="E7" s="7">
        <v>84</v>
      </c>
      <c r="F7" s="7">
        <v>66</v>
      </c>
      <c r="G7" s="7">
        <v>1</v>
      </c>
      <c r="I7" s="10"/>
      <c r="J7" s="12"/>
      <c r="K7" s="13"/>
      <c r="L7" s="13"/>
      <c r="M7" s="13"/>
      <c r="N7" s="13"/>
      <c r="O7" s="13"/>
    </row>
    <row r="8" spans="2:15" x14ac:dyDescent="0.55000000000000004">
      <c r="B8" s="7">
        <v>18</v>
      </c>
      <c r="C8" s="7">
        <v>6</v>
      </c>
      <c r="D8" s="7">
        <v>60</v>
      </c>
      <c r="E8" s="7">
        <v>48</v>
      </c>
      <c r="F8" s="7">
        <v>78</v>
      </c>
      <c r="G8" s="7">
        <v>1</v>
      </c>
      <c r="I8" s="10"/>
      <c r="J8" s="10"/>
      <c r="K8" s="10"/>
      <c r="L8" s="10"/>
      <c r="M8" s="10"/>
      <c r="N8" s="10"/>
      <c r="O8" s="10"/>
    </row>
    <row r="9" spans="2:15" x14ac:dyDescent="0.55000000000000004">
      <c r="B9" s="7">
        <v>25</v>
      </c>
      <c r="C9" s="7">
        <v>1</v>
      </c>
      <c r="D9" s="7">
        <v>10</v>
      </c>
      <c r="E9" s="7">
        <v>11</v>
      </c>
      <c r="F9" s="7">
        <v>9</v>
      </c>
      <c r="G9" s="7">
        <v>0</v>
      </c>
    </row>
    <row r="10" spans="2:15" x14ac:dyDescent="0.55000000000000004">
      <c r="B10" s="7">
        <v>27</v>
      </c>
      <c r="C10" s="7">
        <v>6</v>
      </c>
      <c r="D10" s="7">
        <v>60</v>
      </c>
      <c r="E10" s="7">
        <v>66</v>
      </c>
      <c r="F10" s="7">
        <v>80</v>
      </c>
      <c r="G10" s="7">
        <v>1</v>
      </c>
    </row>
    <row r="11" spans="2:15" x14ac:dyDescent="0.55000000000000004">
      <c r="B11" s="7">
        <v>34</v>
      </c>
      <c r="C11" s="7">
        <v>6</v>
      </c>
      <c r="D11" s="7">
        <v>60</v>
      </c>
      <c r="E11" s="7">
        <v>84</v>
      </c>
      <c r="F11" s="7">
        <v>79</v>
      </c>
      <c r="G11" s="7">
        <v>1</v>
      </c>
    </row>
    <row r="12" spans="2:15" x14ac:dyDescent="0.55000000000000004">
      <c r="B12" s="7">
        <v>41</v>
      </c>
      <c r="C12" s="7">
        <v>7</v>
      </c>
      <c r="D12" s="7">
        <v>70</v>
      </c>
      <c r="E12" s="7">
        <v>63</v>
      </c>
      <c r="F12" s="7">
        <v>90</v>
      </c>
      <c r="G12" s="7">
        <v>1</v>
      </c>
    </row>
    <row r="13" spans="2:15" x14ac:dyDescent="0.55000000000000004">
      <c r="B13" s="7">
        <v>49</v>
      </c>
      <c r="C13" s="7">
        <v>2</v>
      </c>
      <c r="D13" s="7">
        <v>20</v>
      </c>
      <c r="E13" s="7">
        <v>18</v>
      </c>
      <c r="F13" s="7">
        <v>28</v>
      </c>
      <c r="G13" s="7">
        <v>0</v>
      </c>
    </row>
    <row r="14" spans="2:15" x14ac:dyDescent="0.55000000000000004">
      <c r="B14" s="7">
        <v>52</v>
      </c>
      <c r="C14" s="7">
        <v>5</v>
      </c>
      <c r="D14" s="7">
        <v>50</v>
      </c>
      <c r="E14" s="7">
        <v>65</v>
      </c>
      <c r="F14" s="7">
        <v>55</v>
      </c>
      <c r="G14" s="7">
        <v>1</v>
      </c>
    </row>
    <row r="15" spans="2:15" ht="15.6" x14ac:dyDescent="0.6">
      <c r="B15" s="5" t="s">
        <v>12</v>
      </c>
      <c r="C15" s="8">
        <f>SUM(C5:C14)</f>
        <v>47</v>
      </c>
      <c r="D15" s="8">
        <f t="shared" ref="D15:G15" si="0">SUM(D5:D14)</f>
        <v>470</v>
      </c>
      <c r="E15" s="8">
        <f t="shared" si="0"/>
        <v>535</v>
      </c>
      <c r="F15" s="8">
        <f t="shared" si="0"/>
        <v>566</v>
      </c>
      <c r="G15" s="8">
        <f t="shared" si="0"/>
        <v>7</v>
      </c>
    </row>
  </sheetData>
  <mergeCells count="2">
    <mergeCell ref="D3:F3"/>
    <mergeCell ref="K3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Net1_10Traffickers</vt:lpstr>
      <vt:lpstr>Net2_10Traf</vt:lpstr>
      <vt:lpstr>Net3_10Traf</vt:lpstr>
      <vt:lpstr>Net4_10Traf</vt:lpstr>
      <vt:lpstr>Net5_10Traf</vt:lpstr>
    </vt:vector>
  </TitlesOfParts>
  <Company>Florida Polytechnic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Bruno Lopes da Silva</dc:creator>
  <cp:lastModifiedBy>Daniel Bruno Lopes da Silva</cp:lastModifiedBy>
  <dcterms:created xsi:type="dcterms:W3CDTF">2026-02-11T14:53:39Z</dcterms:created>
  <dcterms:modified xsi:type="dcterms:W3CDTF">2026-02-22T15:34:36Z</dcterms:modified>
</cp:coreProperties>
</file>